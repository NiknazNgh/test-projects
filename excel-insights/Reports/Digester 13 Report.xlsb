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Feed Vs. Gas Production</a:t>
            </a:r>
            <a:r>
              <a:rPr lang="en-US" baseline="0"/>
              <a:t> Vs. Volatile Solids Destruction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Volatile Solids Reduction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[0]!_Calculation_U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-6.4959979707552158</c:v>
                </c:pt>
                <c:pt idx="4">
                  <c:v>0</c:v>
                </c:pt>
                <c:pt idx="5">
                  <c:v>24.533589213780296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35.775041668967461</c:v>
                </c:pt>
                <c:pt idx="11">
                  <c:v>0</c:v>
                </c:pt>
                <c:pt idx="12">
                  <c:v>39.294048080304144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35.898843474868478</c:v>
                </c:pt>
                <c:pt idx="18">
                  <c:v>0</c:v>
                </c:pt>
                <c:pt idx="19">
                  <c:v>40.553084070823225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87104"/>
        <c:axId val="126688640"/>
      </c:barChart>
      <c:lineChart>
        <c:grouping val="standar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Digester Feed 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[0]!_AR07062FT</c:f>
              <c:numCache>
                <c:formatCode>#,##0</c:formatCode>
                <c:ptCount val="31"/>
                <c:pt idx="0">
                  <c:v>44432.748413085938</c:v>
                </c:pt>
                <c:pt idx="1">
                  <c:v>46204.310302734375</c:v>
                </c:pt>
                <c:pt idx="2">
                  <c:v>54971.883544921875</c:v>
                </c:pt>
                <c:pt idx="3">
                  <c:v>47621.93115234375</c:v>
                </c:pt>
                <c:pt idx="4">
                  <c:v>45753.802185058594</c:v>
                </c:pt>
                <c:pt idx="5">
                  <c:v>47079.591064453125</c:v>
                </c:pt>
                <c:pt idx="6">
                  <c:v>52547.019653320313</c:v>
                </c:pt>
                <c:pt idx="7">
                  <c:v>50785.015869140625</c:v>
                </c:pt>
                <c:pt idx="8">
                  <c:v>45872.124938964844</c:v>
                </c:pt>
                <c:pt idx="9">
                  <c:v>48246.388549804688</c:v>
                </c:pt>
                <c:pt idx="10">
                  <c:v>42329.520263671875</c:v>
                </c:pt>
                <c:pt idx="11">
                  <c:v>46162.007446289063</c:v>
                </c:pt>
                <c:pt idx="12">
                  <c:v>43942.414855957031</c:v>
                </c:pt>
                <c:pt idx="13">
                  <c:v>44780.995788574219</c:v>
                </c:pt>
                <c:pt idx="14">
                  <c:v>43211.906433105469</c:v>
                </c:pt>
                <c:pt idx="15">
                  <c:v>43192.952270507813</c:v>
                </c:pt>
                <c:pt idx="16">
                  <c:v>43604.826965332031</c:v>
                </c:pt>
                <c:pt idx="17">
                  <c:v>48786.448974609375</c:v>
                </c:pt>
                <c:pt idx="18">
                  <c:v>47725.504760742188</c:v>
                </c:pt>
                <c:pt idx="19">
                  <c:v>46801.25244140625</c:v>
                </c:pt>
                <c:pt idx="20">
                  <c:v>43551.054382324219</c:v>
                </c:pt>
                <c:pt idx="21">
                  <c:v>49285.409545898438</c:v>
                </c:pt>
                <c:pt idx="22">
                  <c:v>49157.858276367188</c:v>
                </c:pt>
                <c:pt idx="23">
                  <c:v>44636.693115234375</c:v>
                </c:pt>
                <c:pt idx="24">
                  <c:v>42307.528381347656</c:v>
                </c:pt>
                <c:pt idx="25">
                  <c:v>43377.349548339844</c:v>
                </c:pt>
                <c:pt idx="26">
                  <c:v>43571.417541503906</c:v>
                </c:pt>
                <c:pt idx="27">
                  <c:v>47853.912963867188</c:v>
                </c:pt>
                <c:pt idx="28">
                  <c:v>51030.472412109375</c:v>
                </c:pt>
                <c:pt idx="29">
                  <c:v>42717.046508789063</c:v>
                </c:pt>
                <c:pt idx="30">
                  <c:v>44988.272094726563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FE9-48C7-A8DC-B2C9FEC3861B}"/>
            </c:ext>
          </c:extLst>
        </c:ser>
        <c:ser>
          <c:idx val="3"/>
          <c:order val="3"/>
          <c:tx>
            <c:strRef>
              <c:f>Report!$X$6</c:f>
              <c:strCache>
                <c:ptCount val="1"/>
                <c:pt idx="0">
                  <c:v>Biogas Produced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[0]!_AR07056FT</c:f>
              <c:numCache>
                <c:formatCode>#,##0</c:formatCode>
                <c:ptCount val="31"/>
                <c:pt idx="0">
                  <c:v>92837.900390625</c:v>
                </c:pt>
                <c:pt idx="1">
                  <c:v>86997.535400390625</c:v>
                </c:pt>
                <c:pt idx="2">
                  <c:v>90280.794067382813</c:v>
                </c:pt>
                <c:pt idx="3">
                  <c:v>86219.511108398438</c:v>
                </c:pt>
                <c:pt idx="4">
                  <c:v>78842.362060546875</c:v>
                </c:pt>
                <c:pt idx="5">
                  <c:v>85383.369140625</c:v>
                </c:pt>
                <c:pt idx="6">
                  <c:v>91030.869140625</c:v>
                </c:pt>
                <c:pt idx="7">
                  <c:v>90227.565307617188</c:v>
                </c:pt>
                <c:pt idx="8">
                  <c:v>88412.008666992188</c:v>
                </c:pt>
                <c:pt idx="9">
                  <c:v>85457.92236328125</c:v>
                </c:pt>
                <c:pt idx="10">
                  <c:v>83450.63232421875</c:v>
                </c:pt>
                <c:pt idx="11">
                  <c:v>87818.505249023438</c:v>
                </c:pt>
                <c:pt idx="12">
                  <c:v>93582.333984375</c:v>
                </c:pt>
                <c:pt idx="13">
                  <c:v>95496.888427734375</c:v>
                </c:pt>
                <c:pt idx="14">
                  <c:v>98323.824462890625</c:v>
                </c:pt>
                <c:pt idx="15">
                  <c:v>91276.929931640625</c:v>
                </c:pt>
                <c:pt idx="16">
                  <c:v>89529.713745117188</c:v>
                </c:pt>
                <c:pt idx="17">
                  <c:v>87546.214599609375</c:v>
                </c:pt>
                <c:pt idx="18">
                  <c:v>92349.635009765625</c:v>
                </c:pt>
                <c:pt idx="19">
                  <c:v>94040.892333984375</c:v>
                </c:pt>
                <c:pt idx="20">
                  <c:v>87414.345703125</c:v>
                </c:pt>
                <c:pt idx="21">
                  <c:v>93240.8349609375</c:v>
                </c:pt>
                <c:pt idx="22">
                  <c:v>96322.071533203125</c:v>
                </c:pt>
                <c:pt idx="23">
                  <c:v>96249.111328125</c:v>
                </c:pt>
                <c:pt idx="24">
                  <c:v>89640.324096679688</c:v>
                </c:pt>
                <c:pt idx="25">
                  <c:v>91252.705078125</c:v>
                </c:pt>
                <c:pt idx="26">
                  <c:v>90072.850341796875</c:v>
                </c:pt>
                <c:pt idx="27">
                  <c:v>97405.806884765625</c:v>
                </c:pt>
                <c:pt idx="28">
                  <c:v>100536.6796875</c:v>
                </c:pt>
                <c:pt idx="29">
                  <c:v>96567.198486328125</c:v>
                </c:pt>
                <c:pt idx="30">
                  <c:v>90570.860595703125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91808"/>
        <c:axId val="126393728"/>
      </c:lineChart>
      <c:lineChart>
        <c:grouping val="standard"/>
        <c:varyColors val="0"/>
        <c:ser>
          <c:idx val="1"/>
          <c:order val="1"/>
          <c:tx>
            <c:strRef>
              <c:f>Report!$V$6</c:f>
              <c:strCache>
                <c:ptCount val="1"/>
                <c:pt idx="0">
                  <c:v>Detention Time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[0]!_Calculation_V</c:f>
              <c:numCache>
                <c:formatCode>#,##0.0</c:formatCode>
                <c:ptCount val="31"/>
                <c:pt idx="0">
                  <c:v>31.359820172403005</c:v>
                </c:pt>
                <c:pt idx="1">
                  <c:v>30.157424510187703</c:v>
                </c:pt>
                <c:pt idx="2">
                  <c:v>25.347557881318366</c:v>
                </c:pt>
                <c:pt idx="3">
                  <c:v>29.259691202829824</c:v>
                </c:pt>
                <c:pt idx="4">
                  <c:v>30.454365177437229</c:v>
                </c:pt>
                <c:pt idx="5">
                  <c:v>29.596752403656112</c:v>
                </c:pt>
                <c:pt idx="6">
                  <c:v>26.517260335467082</c:v>
                </c:pt>
                <c:pt idx="7">
                  <c:v>27.437285903196841</c:v>
                </c:pt>
                <c:pt idx="8">
                  <c:v>30.375811058545736</c:v>
                </c:pt>
                <c:pt idx="9">
                  <c:v>28.880980356935769</c:v>
                </c:pt>
                <c:pt idx="10">
                  <c:v>32.917996502687721</c:v>
                </c:pt>
                <c:pt idx="11">
                  <c:v>30.185060769319186</c:v>
                </c:pt>
                <c:pt idx="12">
                  <c:v>31.709750239434186</c:v>
                </c:pt>
                <c:pt idx="13">
                  <c:v>31.115944955282213</c:v>
                </c:pt>
                <c:pt idx="14">
                  <c:v>32.245811745359312</c:v>
                </c:pt>
                <c:pt idx="15">
                  <c:v>32.259962025133831</c:v>
                </c:pt>
                <c:pt idx="16">
                  <c:v>31.955246631475536</c:v>
                </c:pt>
                <c:pt idx="17">
                  <c:v>28.561271199000124</c:v>
                </c:pt>
                <c:pt idx="18">
                  <c:v>29.196191993891254</c:v>
                </c:pt>
                <c:pt idx="19">
                  <c:v>29.772771610001211</c:v>
                </c:pt>
                <c:pt idx="20">
                  <c:v>31.994701845049502</c:v>
                </c:pt>
                <c:pt idx="21">
                  <c:v>28.272119737634601</c:v>
                </c:pt>
                <c:pt idx="22">
                  <c:v>28.345478197325846</c:v>
                </c:pt>
                <c:pt idx="23">
                  <c:v>31.216537399013447</c:v>
                </c:pt>
                <c:pt idx="24">
                  <c:v>32.935107611115299</c:v>
                </c:pt>
                <c:pt idx="25">
                  <c:v>32.122824803926477</c:v>
                </c:pt>
                <c:pt idx="26">
                  <c:v>31.979749079146103</c:v>
                </c:pt>
                <c:pt idx="27">
                  <c:v>29.117848754648545</c:v>
                </c:pt>
                <c:pt idx="28">
                  <c:v>27.305312573774053</c:v>
                </c:pt>
                <c:pt idx="29">
                  <c:v>32.619366596735716</c:v>
                </c:pt>
                <c:pt idx="30">
                  <c:v>30.972583189371523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FE9-48C7-A8DC-B2C9FEC3861B}"/>
            </c:ext>
          </c:extLst>
        </c:ser>
        <c:ser>
          <c:idx val="4"/>
          <c:order val="4"/>
          <c:tx>
            <c:strRef>
              <c:f>Report!$Z$8</c:f>
              <c:strCache>
                <c:ptCount val="1"/>
                <c:pt idx="0">
                  <c:v>Detention Time Limit</c:v>
                </c:pt>
              </c:strCache>
            </c:strRef>
          </c:tx>
          <c:spPr>
            <a:ln w="25400">
              <a:solidFill>
                <a:srgbClr val="C00000"/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[0]!_Detention_Time_Limit</c:f>
              <c:numCache>
                <c:formatCode>General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E9-48C7-A8DC-B2C9FEC3861B}"/>
            </c:ext>
          </c:extLst>
        </c:ser>
        <c:ser>
          <c:idx val="5"/>
          <c:order val="5"/>
          <c:tx>
            <c:strRef>
              <c:f>Report!$AA$8</c:f>
              <c:strCache>
                <c:ptCount val="1"/>
                <c:pt idx="0">
                  <c:v>Volatile Solids Reduction Limit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[0]!_Volatile_Solids_Reduction_Limit</c:f>
              <c:numCache>
                <c:formatCode>General</c:formatCode>
                <c:ptCount val="31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  <c:pt idx="15">
                  <c:v>38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FE9-48C7-A8DC-B2C9FEC3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687104"/>
        <c:axId val="126688640"/>
      </c:lineChart>
      <c:dateAx>
        <c:axId val="126391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393728"/>
        <c:crosses val="autoZero"/>
        <c:auto val="1"/>
        <c:lblOffset val="100"/>
        <c:baseTimeUnit val="days"/>
      </c:dateAx>
      <c:valAx>
        <c:axId val="126393728"/>
        <c:scaling>
          <c:orientation val="minMax"/>
          <c:max val="500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Digester Feed (Gallons) / Biogas Produced (SCF)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391808"/>
        <c:crosses val="autoZero"/>
        <c:crossBetween val="between"/>
        <c:majorUnit val="50000"/>
      </c:valAx>
      <c:dateAx>
        <c:axId val="12668710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688640"/>
        <c:crosses val="autoZero"/>
        <c:auto val="1"/>
        <c:lblOffset val="100"/>
        <c:baseTimeUnit val="days"/>
      </c:dateAx>
      <c:valAx>
        <c:axId val="126688640"/>
        <c:scaling>
          <c:orientation val="minMax"/>
          <c:max val="6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Volatile Solids Reduction % / Detention Time in Days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2668710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Alkalinity</a:t>
            </a:r>
            <a:r>
              <a:rPr lang="en-US" baseline="0"/>
              <a:t> Vs. Volatile Acids 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3424940324820868E-2"/>
          <c:y val="0.11366829410029254"/>
          <c:w val="0.85249395762706992"/>
          <c:h val="0.6561467366137682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Report!$R$6</c:f>
              <c:strCache>
                <c:ptCount val="1"/>
                <c:pt idx="0">
                  <c:v>Volatile Acids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[0]!_MD09007A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534</c:v>
                </c:pt>
                <c:pt idx="4">
                  <c:v>0</c:v>
                </c:pt>
                <c:pt idx="5">
                  <c:v>939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1040</c:v>
                </c:pt>
                <c:pt idx="11">
                  <c:v>0</c:v>
                </c:pt>
                <c:pt idx="12">
                  <c:v>933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883</c:v>
                </c:pt>
                <c:pt idx="18">
                  <c:v>0</c:v>
                </c:pt>
                <c:pt idx="19">
                  <c:v>715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741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E-401B-BBC1-F9927C193B03}"/>
            </c:ext>
          </c:extLst>
        </c:ser>
        <c:ser>
          <c:idx val="3"/>
          <c:order val="1"/>
          <c:tx>
            <c:strRef>
              <c:f>Report!$S$6</c:f>
              <c:strCache>
                <c:ptCount val="1"/>
                <c:pt idx="0">
                  <c:v>Alkalinity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[0]!_MD09006A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5950</c:v>
                </c:pt>
                <c:pt idx="4">
                  <c:v>0</c:v>
                </c:pt>
                <c:pt idx="5">
                  <c:v>4100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4250</c:v>
                </c:pt>
                <c:pt idx="11">
                  <c:v>0</c:v>
                </c:pt>
                <c:pt idx="12">
                  <c:v>4180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4380</c:v>
                </c:pt>
                <c:pt idx="18">
                  <c:v>0</c:v>
                </c:pt>
                <c:pt idx="19">
                  <c:v>4180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3920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E-401B-BBC1-F9927C193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941312"/>
        <c:axId val="110942848"/>
      </c:barChart>
      <c:dateAx>
        <c:axId val="110941312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10942848"/>
        <c:crosses val="autoZero"/>
        <c:auto val="1"/>
        <c:lblOffset val="100"/>
        <c:baseTimeUnit val="days"/>
      </c:dateAx>
      <c:valAx>
        <c:axId val="110942848"/>
        <c:scaling>
          <c:orientation val="minMax"/>
          <c:max val="40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Volatile Acids / Total Alkalinity  </a:t>
                </a:r>
                <a:r>
                  <a:rPr lang="en-US" baseline="0"/>
                  <a:t>(mg/L)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109413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Volatile Acids/Total Alkalinity Ratio vs. pH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0987822808517546E-2"/>
          <c:y val="0.13267699742335232"/>
          <c:w val="0.85906223441857099"/>
          <c:h val="0.637281953841292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Report!$T$6</c:f>
              <c:strCache>
                <c:ptCount val="1"/>
                <c:pt idx="0">
                  <c:v>VA/Alk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[0]!_Calculation_T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8.9747899159663871E-2</c:v>
                </c:pt>
                <c:pt idx="4">
                  <c:v>0</c:v>
                </c:pt>
                <c:pt idx="5">
                  <c:v>0.22902439024390245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0.24470588235294119</c:v>
                </c:pt>
                <c:pt idx="11">
                  <c:v>0</c:v>
                </c:pt>
                <c:pt idx="12">
                  <c:v>0.22320574162679427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0.20159817351598175</c:v>
                </c:pt>
                <c:pt idx="18">
                  <c:v>0</c:v>
                </c:pt>
                <c:pt idx="19">
                  <c:v>0.17105263157894737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0.18903061224489795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100"/>
        <c:axId val="122292096"/>
        <c:axId val="122293632"/>
      </c:barChart>
      <c:scatterChart>
        <c:scatterStyle val="lineMarker"/>
        <c:varyColors val="0"/>
        <c:ser>
          <c:idx val="0"/>
          <c:order val="1"/>
          <c:tx>
            <c:strRef>
              <c:f>Report!$Q$6</c:f>
              <c:strCache>
                <c:ptCount val="1"/>
                <c:pt idx="0">
                  <c:v>pH</c:v>
                </c:pt>
              </c:strCache>
            </c:strRef>
          </c:tx>
          <c:spPr>
            <a:ln w="28575">
              <a:noFill/>
            </a:ln>
          </c:spPr>
          <c:xVal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xVal>
          <c:yVal>
            <c:numRef>
              <c:f>[0]!_MD08027A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7.4000000953674316</c:v>
                </c:pt>
                <c:pt idx="4">
                  <c:v>0</c:v>
                </c:pt>
                <c:pt idx="5">
                  <c:v>7.1999998092651367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7.3000001907348633</c:v>
                </c:pt>
                <c:pt idx="11">
                  <c:v>0</c:v>
                </c:pt>
                <c:pt idx="12">
                  <c:v>7.1999998092651367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7.1999998092651367</c:v>
                </c:pt>
                <c:pt idx="18">
                  <c:v>0</c:v>
                </c:pt>
                <c:pt idx="19">
                  <c:v>7.3000001907348633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7.1999998092651367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95-4402-AE97-884890CC3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8096"/>
        <c:axId val="122309632"/>
      </c:scatterChart>
      <c:dateAx>
        <c:axId val="122292096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293632"/>
        <c:crosses val="autoZero"/>
        <c:auto val="1"/>
        <c:lblOffset val="100"/>
        <c:baseTimeUnit val="days"/>
      </c:dateAx>
      <c:valAx>
        <c:axId val="122293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Volatile Acids / </a:t>
                </a:r>
                <a:r>
                  <a:rPr lang="en-US" sz="1000" b="1" i="0" u="none" strike="noStrike" baseline="0">
                    <a:effectLst/>
                  </a:rPr>
                  <a:t>Total Alkalinity 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crossAx val="122292096"/>
        <c:crosses val="autoZero"/>
        <c:crossBetween val="between"/>
      </c:valAx>
      <c:valAx>
        <c:axId val="12230809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09632"/>
        <c:crosses val="autoZero"/>
        <c:crossBetween val="midCat"/>
      </c:valAx>
      <c:valAx>
        <c:axId val="1223096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23080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3</xdr:row>
      <xdr:rowOff>1</xdr:rowOff>
    </xdr:from>
    <xdr:to>
      <xdr:col>23</xdr:col>
      <xdr:colOff>0</xdr:colOff>
      <xdr:row>30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993E3CA-6730-496E-B302-0299A9DC7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30</xdr:row>
      <xdr:rowOff>0</xdr:rowOff>
    </xdr:from>
    <xdr:to>
      <xdr:col>12</xdr:col>
      <xdr:colOff>1</xdr:colOff>
      <xdr:row>88</xdr:row>
      <xdr:rowOff>7620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E44FAFD1-EE7F-450F-9B11-75CB333301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</xdr:colOff>
      <xdr:row>30</xdr:row>
      <xdr:rowOff>0</xdr:rowOff>
    </xdr:from>
    <xdr:to>
      <xdr:col>23</xdr:col>
      <xdr:colOff>7621</xdr:colOff>
      <xdr:row>88</xdr:row>
      <xdr:rowOff>7620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27302264-34BB-4B7A-B5B5-7C5BD5BB6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Charts</vt:lpstr>
      <vt:lpstr>Report</vt:lpstr>
      <vt:lpstr>Data</vt:lpstr>
      <vt:lpstr>_AA</vt:lpstr>
      <vt:lpstr>_AR07056FT</vt:lpstr>
      <vt:lpstr>_AR07062FT</vt:lpstr>
      <vt:lpstr>_AR36011FT</vt:lpstr>
      <vt:lpstr>_AR36018FT</vt:lpstr>
      <vt:lpstr>_B</vt:lpstr>
      <vt:lpstr>_C</vt:lpstr>
      <vt:lpstr>_Calculation_C</vt:lpstr>
      <vt:lpstr>_Calculation_E</vt:lpstr>
      <vt:lpstr>_Calculation_G</vt:lpstr>
      <vt:lpstr>_Calculation_L</vt:lpstr>
      <vt:lpstr>_Calculation_N</vt:lpstr>
      <vt:lpstr>_Calculation_P</vt:lpstr>
      <vt:lpstr>_Calculation_T</vt:lpstr>
      <vt:lpstr>_Calculation_U</vt:lpstr>
      <vt:lpstr>_Calculation_V</vt:lpstr>
      <vt:lpstr>_Calculation_W</vt:lpstr>
      <vt:lpstr>_Calculation_Y</vt:lpstr>
      <vt:lpstr>_D</vt:lpstr>
      <vt:lpstr>_Detention_Time_Limit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_MD06003A</vt:lpstr>
      <vt:lpstr>_MD06004A</vt:lpstr>
      <vt:lpstr>_MD06045A</vt:lpstr>
      <vt:lpstr>_MD06046A</vt:lpstr>
      <vt:lpstr>_MD06053A</vt:lpstr>
      <vt:lpstr>_MD06054A</vt:lpstr>
      <vt:lpstr>_MD08027A</vt:lpstr>
      <vt:lpstr>_MD08046A</vt:lpstr>
      <vt:lpstr>_MD08059A</vt:lpstr>
      <vt:lpstr>_MD09006A</vt:lpstr>
      <vt:lpstr>_MD09007A</vt:lpstr>
      <vt:lpstr>_MD09038A</vt:lpstr>
      <vt:lpstr>_MD09039A</vt:lpstr>
      <vt:lpstr>_MD09044A</vt:lpstr>
      <vt:lpstr>_MD09045A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_Volatile_Solids_Reduction_Limit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2015-11-19T19:41:41Z</cp:lastPrinted>
  <dcterms:created xsi:type="dcterms:W3CDTF">1999-11-01T22:30:02Z</dcterms:created>
  <dcterms:modified xsi:type="dcterms:W3CDTF">2025-10-28T11:33:05Z</dcterms:modified>
</cp:coreProperties>
</file>